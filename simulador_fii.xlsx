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dor" sheetId="1" state="visible" r:id="rId3"/>
    <sheet name="Apoio" sheetId="2" state="visible" r:id="rId4"/>
  </sheets>
  <definedNames>
    <definedName function="false" hidden="false" name="aporte" vbProcedure="false">Simulador!$C$14</definedName>
    <definedName function="false" hidden="false" name="dividendos_mensais" vbProcedure="false">Simulador!$C$18</definedName>
    <definedName function="false" hidden="false" name="patrimonio" vbProcedure="false">Simulador!$C$17</definedName>
    <definedName function="false" hidden="false" name="pct_sugestao" vbProcedure="false">Simulador!$C$9</definedName>
    <definedName function="false" hidden="false" name="perfil" vbProcedure="false">Simulador!$C$31</definedName>
    <definedName function="false" hidden="false" name="qtde_anos" vbProcedure="false">Simulador!$C$15</definedName>
    <definedName function="false" hidden="false" name="rendimento_carteira" vbProcedure="false">Simulador!$C$8</definedName>
    <definedName function="false" hidden="false" name="salario" vbProcedure="false">Simulador!$C$7</definedName>
    <definedName function="false" hidden="false" name="sugestao_aporte" vbProcedure="false">Simulador!$C$10</definedName>
    <definedName function="false" hidden="false" name="tabela_perfis" vbProcedure="false">Apoio!$A$2:$D$19</definedName>
    <definedName function="false" hidden="false" name="taxa_mensal" vbProcedure="false">Simulador!$C$16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<sst xmlns="http://schemas.openxmlformats.org/spreadsheetml/2006/main" count="84" uniqueCount="45">
  <si>
    <t xml:space="preserve">SIMULADOR DE FUNDOS IMOBILIÁRIOS</t>
  </si>
  <si>
    <t xml:space="preserve">Amarelo/azul = você preenche  |  Cinza = calculado (não editar)  |  Valores de exemplo, não são recomendação de investimento</t>
  </si>
  <si>
    <t xml:space="preserve">CONFIGURAÇÕES</t>
  </si>
  <si>
    <t xml:space="preserve">Salário</t>
  </si>
  <si>
    <t xml:space="preserve">Rendimento mensal da carteira (dividendos)</t>
  </si>
  <si>
    <t xml:space="preserve">% do salário sugerido para investir</t>
  </si>
  <si>
    <t xml:space="preserve">Sugestão de aporte mensal</t>
  </si>
  <si>
    <t xml:space="preserve">INVESTIMENTO MENSAL</t>
  </si>
  <si>
    <t xml:space="preserve">Aporte informado</t>
  </si>
  <si>
    <t xml:space="preserve">Sugestão (% do salário)</t>
  </si>
  <si>
    <t xml:space="preserve">1) Quanto investir por mês?</t>
  </si>
  <si>
    <t xml:space="preserve">2) Por quantos anos?</t>
  </si>
  <si>
    <t xml:space="preserve">3) Taxa de rendimento mensal?</t>
  </si>
  <si>
    <t xml:space="preserve">4) Patrimônio acumulado?</t>
  </si>
  <si>
    <t xml:space="preserve">5) Dividendos mensais?</t>
  </si>
  <si>
    <t xml:space="preserve">Total aportado (extra)</t>
  </si>
  <si>
    <t xml:space="preserve">Ganho com rendimento (extra)</t>
  </si>
  <si>
    <t xml:space="preserve">CENÁRIOS DE 2 A 30 ANOS</t>
  </si>
  <si>
    <t xml:space="preserve">Prazo</t>
  </si>
  <si>
    <t xml:space="preserve">Patrimônio (aporte informado)</t>
  </si>
  <si>
    <t xml:space="preserve">Dividendos/mês (aporte informado)</t>
  </si>
  <si>
    <t xml:space="preserve">Patrimônio (sugestão)</t>
  </si>
  <si>
    <t xml:space="preserve">Dividendos/mês (sugestão)</t>
  </si>
  <si>
    <t xml:space="preserve">DIVISÃO DO APORTE POR PERFIL DE INVESTIDOR</t>
  </si>
  <si>
    <t xml:space="preserve">Perfil do investidor (escolha na lista)</t>
  </si>
  <si>
    <t xml:space="preserve">Moderado</t>
  </si>
  <si>
    <t xml:space="preserve">Valor a ser investido por mês</t>
  </si>
  <si>
    <t xml:space="preserve">Tipo de FII</t>
  </si>
  <si>
    <t xml:space="preserve">Percentual sugerido</t>
  </si>
  <si>
    <t xml:space="preserve">Valor do aporte</t>
  </si>
  <si>
    <t xml:space="preserve">PAPEL</t>
  </si>
  <si>
    <t xml:space="preserve">TIJOLO</t>
  </si>
  <si>
    <t xml:space="preserve">HÍBRIDOS</t>
  </si>
  <si>
    <t xml:space="preserve">FOFs</t>
  </si>
  <si>
    <t xml:space="preserve">DESENVOLVIMENTO</t>
  </si>
  <si>
    <t xml:space="preserve">HOTELARIA</t>
  </si>
  <si>
    <t xml:space="preserve">TOTAL</t>
  </si>
  <si>
    <t xml:space="preserve">chave</t>
  </si>
  <si>
    <t xml:space="preserve">Perfil</t>
  </si>
  <si>
    <t xml:space="preserve">%</t>
  </si>
  <si>
    <t xml:space="preserve">Soma %</t>
  </si>
  <si>
    <t xml:space="preserve">Conferência</t>
  </si>
  <si>
    <t xml:space="preserve">Conservador</t>
  </si>
  <si>
    <t xml:space="preserve">Agressivo</t>
  </si>
  <si>
    <t xml:space="preserve">Percentuais de exemplo (didáticos), baseados na planilha de referência do desafio. Não são recomendação de investimento. Cada perfil deve somar 100%.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</si>
</sst>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.00"/>
    <numFmt numFmtId="166" formatCode="0.00%"/>
    <numFmt numFmtId="167" formatCode="0%"/>
    <numFmt numFmtId="168" formatCode="0&quot; anos&quot;"/>
    <numFmt numFmtId="169" formatCode="0.000%"/>
    <numFmt numFmtId="170" formatCode="&quot;Quanto em &quot;0&quot; anos?&quot;"/>
    <numFmt numFmtId="171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2F5597"/>
        <bgColor rgb="FF1F3864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9E2F3"/>
      </patternFill>
    </fill>
    <fill>
      <patternFill patternType="solid">
        <fgColor rgb="FFD9E2F3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0" fontId="8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595959"/>
      <rgbColor rgb="FF2F5597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Divisão do aporte por tipo de FII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Simulador!C34</c:f>
              <c:strCache>
                <c:ptCount val="1"/>
                <c:pt idx="0">
                  <c:v>Percentual sugerido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Simulador!$B$35:$B$40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Simulador!$C$35:$C$40</c:f>
              <c:numCache>
                <c:formatCode>0%</c:formatCode>
                <c:ptCount val="6"/>
                <c:pt idx="0">
                  <c:v>0.3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0.06</c:v>
                </c:pt>
                <c:pt idx="5">
                  <c:v>0.06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42</xdr:row>
      <xdr:rowOff>0</xdr:rowOff>
    </xdr:from>
    <xdr:to>
      <xdr:col>3</xdr:col>
      <xdr:colOff>888480</xdr:colOff>
      <xdr:row>58</xdr:row>
      <xdr:rowOff>11880</xdr:rowOff>
    </xdr:to>
    <xdr:graphicFrame>
      <xdr:nvGraphicFramePr>
        <xdr:cNvPr id="0" name="Chart 1"/>
        <xdr:cNvGraphicFramePr/>
      </xdr:nvGraphicFramePr>
      <xdr:xfrm>
        <a:off x="211320" y="89726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F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6" min="3" style="0" width="24"/>
    <col collapsed="false" customWidth="true" hidden="false" outlineLevel="0" max="7" min="7" style="0" width="3"/>
  </cols>
  <sheetData>
    <row r="2" customFormat="false" ht="24" hidden="false" customHeight="true" outlineLevel="0" collapsed="false">
      <c r="B2" s="1" t="s">
        <v>0</v>
      </c>
      <c r="C2" s="1"/>
      <c r="D2" s="1"/>
      <c r="E2" s="1"/>
      <c r="F2" s="1"/>
    </row>
    <row r="3" customFormat="false" ht="24" hidden="false" customHeight="true" outlineLevel="0" collapsed="false">
      <c r="B3" s="1"/>
      <c r="C3" s="1"/>
      <c r="D3" s="1"/>
      <c r="E3" s="1"/>
      <c r="F3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</row>
    <row r="6" customFormat="false" ht="21.75" hidden="false" customHeight="true" outlineLevel="0" collapsed="false">
      <c r="B6" s="3" t="s">
        <v>2</v>
      </c>
      <c r="C6" s="3"/>
      <c r="D6" s="3"/>
      <c r="E6" s="3"/>
      <c r="F6" s="3"/>
    </row>
    <row r="7" customFormat="false" ht="15" hidden="false" customHeight="false" outlineLevel="0" collapsed="false">
      <c r="B7" s="4" t="s">
        <v>3</v>
      </c>
      <c r="C7" s="5" t="n">
        <v>5000</v>
      </c>
    </row>
    <row r="8" customFormat="false" ht="15" hidden="false" customHeight="false" outlineLevel="0" collapsed="false">
      <c r="B8" s="4" t="s">
        <v>4</v>
      </c>
      <c r="C8" s="6" t="n">
        <v>0.006</v>
      </c>
    </row>
    <row r="9" customFormat="false" ht="15" hidden="false" customHeight="false" outlineLevel="0" collapsed="false">
      <c r="B9" s="4" t="s">
        <v>5</v>
      </c>
      <c r="C9" s="7" t="n">
        <v>0.3</v>
      </c>
    </row>
    <row r="10" customFormat="false" ht="15" hidden="false" customHeight="false" outlineLevel="0" collapsed="false">
      <c r="B10" s="4" t="s">
        <v>6</v>
      </c>
      <c r="C10" s="8" t="n">
        <f aca="false">salario*pct_sugestao</f>
        <v>1500</v>
      </c>
    </row>
    <row r="12" customFormat="false" ht="21.75" hidden="false" customHeight="true" outlineLevel="0" collapsed="false">
      <c r="B12" s="3" t="s">
        <v>7</v>
      </c>
      <c r="C12" s="3"/>
      <c r="D12" s="3"/>
      <c r="E12" s="3"/>
      <c r="F12" s="3"/>
    </row>
    <row r="13" customFormat="false" ht="30" hidden="false" customHeight="true" outlineLevel="0" collapsed="false">
      <c r="B13" s="9"/>
      <c r="C13" s="10" t="s">
        <v>8</v>
      </c>
      <c r="D13" s="10" t="s">
        <v>9</v>
      </c>
    </row>
    <row r="14" customFormat="false" ht="15" hidden="false" customHeight="false" outlineLevel="0" collapsed="false">
      <c r="B14" s="4" t="s">
        <v>10</v>
      </c>
      <c r="C14" s="5" t="n">
        <v>500</v>
      </c>
      <c r="D14" s="11" t="n">
        <f aca="false">sugestao_aporte</f>
        <v>1500</v>
      </c>
    </row>
    <row r="15" customFormat="false" ht="15" hidden="false" customHeight="false" outlineLevel="0" collapsed="false">
      <c r="B15" s="4" t="s">
        <v>11</v>
      </c>
      <c r="C15" s="12" t="n">
        <v>5</v>
      </c>
      <c r="D15" s="13" t="n">
        <f aca="false">C15</f>
        <v>5</v>
      </c>
    </row>
    <row r="16" customFormat="false" ht="15" hidden="false" customHeight="false" outlineLevel="0" collapsed="false">
      <c r="B16" s="4" t="s">
        <v>12</v>
      </c>
      <c r="C16" s="14" t="n">
        <v>0.01079</v>
      </c>
      <c r="D16" s="15" t="n">
        <f aca="false">C16</f>
        <v>0.01079</v>
      </c>
    </row>
    <row r="17" customFormat="false" ht="15" hidden="false" customHeight="false" outlineLevel="0" collapsed="false">
      <c r="B17" s="16" t="s">
        <v>13</v>
      </c>
      <c r="C17" s="8" t="n">
        <f aca="false">-FV(taxa_mensal,qtde_anos*12,aporte)</f>
        <v>41888.4569992437</v>
      </c>
      <c r="D17" s="8" t="n">
        <f aca="false">-FV(D16,D15*12,D14)</f>
        <v>125665.370997731</v>
      </c>
    </row>
    <row r="18" customFormat="false" ht="15" hidden="false" customHeight="false" outlineLevel="0" collapsed="false">
      <c r="B18" s="16" t="s">
        <v>14</v>
      </c>
      <c r="C18" s="8" t="n">
        <f aca="false">patrimonio*rendimento_carteira</f>
        <v>251.330741995462</v>
      </c>
      <c r="D18" s="8" t="n">
        <f aca="false">D17*rendimento_carteira</f>
        <v>753.992225986386</v>
      </c>
    </row>
    <row r="19" customFormat="false" ht="15" hidden="false" customHeight="false" outlineLevel="0" collapsed="false">
      <c r="B19" s="4" t="s">
        <v>15</v>
      </c>
      <c r="C19" s="11" t="n">
        <f aca="false">aporte*qtde_anos*12</f>
        <v>30000</v>
      </c>
      <c r="D19" s="11" t="n">
        <f aca="false">D14*D15*12</f>
        <v>90000</v>
      </c>
    </row>
    <row r="20" customFormat="false" ht="15" hidden="false" customHeight="false" outlineLevel="0" collapsed="false">
      <c r="B20" s="4" t="s">
        <v>16</v>
      </c>
      <c r="C20" s="11" t="n">
        <f aca="false">patrimonio-C19</f>
        <v>11888.4569992437</v>
      </c>
      <c r="D20" s="11" t="n">
        <f aca="false">D17-D19</f>
        <v>35665.370997731</v>
      </c>
    </row>
    <row r="22" customFormat="false" ht="21.75" hidden="false" customHeight="true" outlineLevel="0" collapsed="false">
      <c r="B22" s="3" t="s">
        <v>17</v>
      </c>
      <c r="C22" s="3"/>
      <c r="D22" s="3"/>
      <c r="E22" s="3"/>
      <c r="F22" s="3"/>
    </row>
    <row r="23" customFormat="false" ht="31.5" hidden="false" customHeight="true" outlineLevel="0" collapsed="false">
      <c r="B23" s="10" t="s">
        <v>18</v>
      </c>
      <c r="C23" s="10" t="s">
        <v>19</v>
      </c>
      <c r="D23" s="10" t="s">
        <v>20</v>
      </c>
      <c r="E23" s="10" t="s">
        <v>21</v>
      </c>
      <c r="F23" s="10" t="s">
        <v>22</v>
      </c>
    </row>
    <row r="24" customFormat="false" ht="15" hidden="false" customHeight="false" outlineLevel="0" collapsed="false">
      <c r="B24" s="17" t="n">
        <v>2</v>
      </c>
      <c r="C24" s="11" t="n">
        <f aca="false">-FV($C$16,$B24*12,$C$14)</f>
        <v>13613.8136488226</v>
      </c>
      <c r="D24" s="11" t="n">
        <f aca="false">C24*rendimento_carteira</f>
        <v>81.6828818929354</v>
      </c>
      <c r="E24" s="11" t="n">
        <f aca="false">-FV($D$16,$B24*12,$D$14)</f>
        <v>40841.4409464677</v>
      </c>
      <c r="F24" s="11" t="n">
        <f aca="false">E24*rendimento_carteira</f>
        <v>245.048645678806</v>
      </c>
    </row>
    <row r="25" customFormat="false" ht="15" hidden="false" customHeight="false" outlineLevel="0" collapsed="false">
      <c r="B25" s="17" t="n">
        <v>5</v>
      </c>
      <c r="C25" s="11" t="n">
        <f aca="false">-FV($C$16,$B25*12,$C$14)</f>
        <v>41888.4569992437</v>
      </c>
      <c r="D25" s="11" t="n">
        <f aca="false">C25*rendimento_carteira</f>
        <v>251.330741995462</v>
      </c>
      <c r="E25" s="11" t="n">
        <f aca="false">-FV($D$16,$B25*12,$D$14)</f>
        <v>125665.370997731</v>
      </c>
      <c r="F25" s="11" t="n">
        <f aca="false">E25*rendimento_carteira</f>
        <v>753.992225986386</v>
      </c>
    </row>
    <row r="26" customFormat="false" ht="15" hidden="false" customHeight="false" outlineLevel="0" collapsed="false">
      <c r="B26" s="17" t="n">
        <v>10</v>
      </c>
      <c r="C26" s="11" t="n">
        <f aca="false">-FV($C$16,$B26*12,$C$14)</f>
        <v>121642.106265086</v>
      </c>
      <c r="D26" s="11" t="n">
        <f aca="false">C26*rendimento_carteira</f>
        <v>729.852637590513</v>
      </c>
      <c r="E26" s="11" t="n">
        <f aca="false">-FV($D$16,$B26*12,$D$14)</f>
        <v>364926.318795257</v>
      </c>
      <c r="F26" s="11" t="n">
        <f aca="false">E26*rendimento_carteira</f>
        <v>2189.55791277154</v>
      </c>
    </row>
    <row r="27" customFormat="false" ht="15" hidden="false" customHeight="false" outlineLevel="0" collapsed="false">
      <c r="B27" s="17" t="n">
        <v>20</v>
      </c>
      <c r="C27" s="11" t="n">
        <f aca="false">-FV($C$16,$B27*12,$C$14)</f>
        <v>562599.200048536</v>
      </c>
      <c r="D27" s="11" t="n">
        <f aca="false">C27*rendimento_carteira</f>
        <v>3375.59520029122</v>
      </c>
      <c r="E27" s="11" t="n">
        <f aca="false">-FV($D$16,$B27*12,$D$14)</f>
        <v>1687797.60014561</v>
      </c>
      <c r="F27" s="11" t="n">
        <f aca="false">E27*rendimento_carteira</f>
        <v>10126.7856008737</v>
      </c>
    </row>
    <row r="28" customFormat="false" ht="15" hidden="false" customHeight="false" outlineLevel="0" collapsed="false">
      <c r="B28" s="17" t="n">
        <v>30</v>
      </c>
      <c r="C28" s="11" t="n">
        <f aca="false">-FV($C$16,$B28*12,$C$14)</f>
        <v>2161084.82750234</v>
      </c>
      <c r="D28" s="11" t="n">
        <f aca="false">C28*rendimento_carteira</f>
        <v>12966.508965014</v>
      </c>
      <c r="E28" s="11" t="n">
        <f aca="false">-FV($D$16,$B28*12,$D$14)</f>
        <v>6483254.48250701</v>
      </c>
      <c r="F28" s="11" t="n">
        <f aca="false">E28*rendimento_carteira</f>
        <v>38899.526895042</v>
      </c>
    </row>
    <row r="30" customFormat="false" ht="21.75" hidden="false" customHeight="true" outlineLevel="0" collapsed="false">
      <c r="B30" s="3" t="s">
        <v>23</v>
      </c>
      <c r="C30" s="3"/>
      <c r="D30" s="3"/>
      <c r="E30" s="3"/>
      <c r="F30" s="3"/>
    </row>
    <row r="31" customFormat="false" ht="15" hidden="false" customHeight="false" outlineLevel="0" collapsed="false">
      <c r="B31" s="16" t="s">
        <v>24</v>
      </c>
      <c r="C31" s="18" t="s">
        <v>25</v>
      </c>
    </row>
    <row r="32" customFormat="false" ht="15" hidden="false" customHeight="false" outlineLevel="0" collapsed="false">
      <c r="B32" s="4" t="s">
        <v>26</v>
      </c>
      <c r="C32" s="11" t="n">
        <f aca="false">aporte</f>
        <v>500</v>
      </c>
    </row>
    <row r="34" customFormat="false" ht="15" hidden="false" customHeight="false" outlineLevel="0" collapsed="false">
      <c r="B34" s="10" t="s">
        <v>27</v>
      </c>
      <c r="C34" s="10" t="s">
        <v>28</v>
      </c>
      <c r="D34" s="10" t="s">
        <v>29</v>
      </c>
    </row>
    <row r="35" customFormat="false" ht="15" hidden="false" customHeight="false" outlineLevel="0" collapsed="false">
      <c r="B35" s="4" t="s">
        <v>30</v>
      </c>
      <c r="C35" s="19" t="n">
        <f aca="false">VLOOKUP(perfil&amp;"-"&amp;B35,tabela_perfis,4,FALSE())</f>
        <v>0.3</v>
      </c>
      <c r="D35" s="11" t="n">
        <f aca="false">C35*$C$32</f>
        <v>150</v>
      </c>
    </row>
    <row r="36" customFormat="false" ht="15" hidden="false" customHeight="false" outlineLevel="0" collapsed="false">
      <c r="B36" s="4" t="s">
        <v>31</v>
      </c>
      <c r="C36" s="19" t="n">
        <f aca="false">VLOOKUP(perfil&amp;"-"&amp;B36,tabela_perfis,4,FALSE())</f>
        <v>0.4</v>
      </c>
      <c r="D36" s="11" t="n">
        <f aca="false">C36*$C$32</f>
        <v>200</v>
      </c>
    </row>
    <row r="37" customFormat="false" ht="15" hidden="false" customHeight="false" outlineLevel="0" collapsed="false">
      <c r="B37" s="4" t="s">
        <v>32</v>
      </c>
      <c r="C37" s="19" t="n">
        <f aca="false">VLOOKUP(perfil&amp;"-"&amp;B37,tabela_perfis,4,FALSE())</f>
        <v>0.08</v>
      </c>
      <c r="D37" s="11" t="n">
        <f aca="false">C37*$C$32</f>
        <v>40</v>
      </c>
    </row>
    <row r="38" customFormat="false" ht="15" hidden="false" customHeight="false" outlineLevel="0" collapsed="false">
      <c r="B38" s="4" t="s">
        <v>33</v>
      </c>
      <c r="C38" s="19" t="n">
        <f aca="false">VLOOKUP(perfil&amp;"-"&amp;B38,tabela_perfis,4,FALSE())</f>
        <v>0.1</v>
      </c>
      <c r="D38" s="11" t="n">
        <f aca="false">C38*$C$32</f>
        <v>50</v>
      </c>
    </row>
    <row r="39" customFormat="false" ht="15" hidden="false" customHeight="false" outlineLevel="0" collapsed="false">
      <c r="B39" s="4" t="s">
        <v>34</v>
      </c>
      <c r="C39" s="19" t="n">
        <f aca="false">VLOOKUP(perfil&amp;"-"&amp;B39,tabela_perfis,4,FALSE())</f>
        <v>0.06</v>
      </c>
      <c r="D39" s="11" t="n">
        <f aca="false">C39*$C$32</f>
        <v>30</v>
      </c>
    </row>
    <row r="40" customFormat="false" ht="15" hidden="false" customHeight="false" outlineLevel="0" collapsed="false">
      <c r="B40" s="4" t="s">
        <v>35</v>
      </c>
      <c r="C40" s="19" t="n">
        <f aca="false">VLOOKUP(perfil&amp;"-"&amp;B40,tabela_perfis,4,FALSE())</f>
        <v>0.06</v>
      </c>
      <c r="D40" s="11" t="n">
        <f aca="false">C40*$C$32</f>
        <v>30</v>
      </c>
    </row>
    <row r="41" customFormat="false" ht="15" hidden="false" customHeight="false" outlineLevel="0" collapsed="false">
      <c r="B41" s="16" t="s">
        <v>36</v>
      </c>
      <c r="C41" s="20" t="n">
        <f aca="false">SUM(C35:C40)</f>
        <v>1</v>
      </c>
      <c r="D41" s="8" t="n">
        <f aca="false">SUM(D35:D40)</f>
        <v>500</v>
      </c>
      <c r="E41" s="21" t="str">
        <f aca="false">IF(ROUND(C41,6)=1,"✔ soma 100%","⚠ perfil não soma 100%")</f>
        <v>✔ soma 100%</v>
      </c>
    </row>
  </sheetData>
  <mergeCells count="6">
    <mergeCell ref="B2:F3"/>
    <mergeCell ref="B4:F4"/>
    <mergeCell ref="B6:F6"/>
    <mergeCell ref="B12:F12"/>
    <mergeCell ref="B22:F22"/>
    <mergeCell ref="B30:F30"/>
  </mergeCells>
  <dataValidations count="3">
    <dataValidation allowBlank="false" error="Escolha Conservador, Moderado ou Agressivo." errorStyle="stop" errorTitle="Perfil inválido" operator="between" showDropDown="false" showErrorMessage="true" showInputMessage="false" sqref="C31" type="list">
      <formula1>"Conservador,Moderado,Agressivo"</formula1>
      <formula2>0</formula2>
    </dataValidation>
    <dataValidation allowBlank="false" error="Informe um número maior ou igual a zero." errorStyle="stop" errorTitle="Valor inválido" operator="greaterThanOrEqual" showDropDown="false" showErrorMessage="true" showInputMessage="false" sqref="C7:C9 C14 C16" type="decimal">
      <formula1>0</formula1>
      <formula2>0</formula2>
    </dataValidation>
    <dataValidation allowBlank="false" error="Informe um número inteiro de anos entre 1 e 60." errorStyle="stop" errorTitle="Prazo inválido" operator="between" showDropDown="false" showErrorMessage="true" showInputMessage="false" sqref="C1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22" t="s">
        <v>37</v>
      </c>
      <c r="B1" s="22" t="s">
        <v>38</v>
      </c>
      <c r="C1" s="22" t="s">
        <v>27</v>
      </c>
      <c r="D1" s="22" t="s">
        <v>39</v>
      </c>
      <c r="F1" s="22" t="s">
        <v>38</v>
      </c>
      <c r="G1" s="22" t="s">
        <v>40</v>
      </c>
      <c r="H1" s="22" t="s">
        <v>41</v>
      </c>
    </row>
    <row r="2" customFormat="false" ht="15" hidden="false" customHeight="false" outlineLevel="0" collapsed="false">
      <c r="A2" s="23" t="str">
        <f aca="false">B2&amp;"-"&amp;C2</f>
        <v>Conservador-PAPEL</v>
      </c>
      <c r="B2" s="24" t="s">
        <v>42</v>
      </c>
      <c r="C2" s="24" t="s">
        <v>30</v>
      </c>
      <c r="D2" s="25" t="n">
        <v>0.3</v>
      </c>
      <c r="F2" s="26" t="s">
        <v>42</v>
      </c>
      <c r="G2" s="27" t="n">
        <f aca="false">SUMIF($B$2:$B$19,F2,$D$2:$D$19)</f>
        <v>1</v>
      </c>
      <c r="H2" s="26" t="str">
        <f aca="false">IF(ROUND(G2,6)=1,"OK","ERRO")</f>
        <v>OK</v>
      </c>
    </row>
    <row r="3" customFormat="false" ht="15" hidden="false" customHeight="false" outlineLevel="0" collapsed="false">
      <c r="A3" s="23" t="str">
        <f aca="false">B3&amp;"-"&amp;C3</f>
        <v>Conservador-TIJOLO</v>
      </c>
      <c r="B3" s="24" t="s">
        <v>42</v>
      </c>
      <c r="C3" s="24" t="s">
        <v>31</v>
      </c>
      <c r="D3" s="25" t="n">
        <v>0.5</v>
      </c>
      <c r="F3" s="26" t="s">
        <v>25</v>
      </c>
      <c r="G3" s="27" t="n">
        <f aca="false">SUMIF($B$2:$B$19,F3,$D$2:$D$19)</f>
        <v>1</v>
      </c>
      <c r="H3" s="26" t="str">
        <f aca="false">IF(ROUND(G3,6)=1,"OK","ERRO")</f>
        <v>OK</v>
      </c>
    </row>
    <row r="4" customFormat="false" ht="15" hidden="false" customHeight="false" outlineLevel="0" collapsed="false">
      <c r="A4" s="23" t="str">
        <f aca="false">B4&amp;"-"&amp;C4</f>
        <v>Conservador-HÍBRIDOS</v>
      </c>
      <c r="B4" s="24" t="s">
        <v>42</v>
      </c>
      <c r="C4" s="24" t="s">
        <v>32</v>
      </c>
      <c r="D4" s="25" t="n">
        <v>0.1</v>
      </c>
      <c r="F4" s="26" t="s">
        <v>43</v>
      </c>
      <c r="G4" s="27" t="n">
        <f aca="false">SUMIF($B$2:$B$19,F4,$D$2:$D$19)</f>
        <v>1</v>
      </c>
      <c r="H4" s="26" t="str">
        <f aca="false">IF(ROUND(G4,6)=1,"OK","ERRO")</f>
        <v>OK</v>
      </c>
    </row>
    <row r="5" customFormat="false" ht="15" hidden="false" customHeight="false" outlineLevel="0" collapsed="false">
      <c r="A5" s="23" t="str">
        <f aca="false">B5&amp;"-"&amp;C5</f>
        <v>Conservador-FOFs</v>
      </c>
      <c r="B5" s="24" t="s">
        <v>42</v>
      </c>
      <c r="C5" s="24" t="s">
        <v>33</v>
      </c>
      <c r="D5" s="25" t="n">
        <v>0.1</v>
      </c>
    </row>
    <row r="6" customFormat="false" ht="15" hidden="false" customHeight="false" outlineLevel="0" collapsed="false">
      <c r="A6" s="23" t="str">
        <f aca="false">B6&amp;"-"&amp;C6</f>
        <v>Conservador-DESENVOLVIMENTO</v>
      </c>
      <c r="B6" s="24" t="s">
        <v>42</v>
      </c>
      <c r="C6" s="24" t="s">
        <v>34</v>
      </c>
      <c r="D6" s="25" t="n">
        <v>0</v>
      </c>
    </row>
    <row r="7" customFormat="false" ht="15" hidden="false" customHeight="false" outlineLevel="0" collapsed="false">
      <c r="A7" s="23" t="str">
        <f aca="false">B7&amp;"-"&amp;C7</f>
        <v>Conservador-HOTELARIA</v>
      </c>
      <c r="B7" s="24" t="s">
        <v>42</v>
      </c>
      <c r="C7" s="24" t="s">
        <v>35</v>
      </c>
      <c r="D7" s="25" t="n">
        <v>0</v>
      </c>
    </row>
    <row r="8" customFormat="false" ht="15" hidden="false" customHeight="false" outlineLevel="0" collapsed="false">
      <c r="A8" s="23" t="str">
        <f aca="false">B8&amp;"-"&amp;C8</f>
        <v>Moderado-PAPEL</v>
      </c>
      <c r="B8" s="24" t="s">
        <v>25</v>
      </c>
      <c r="C8" s="24" t="s">
        <v>30</v>
      </c>
      <c r="D8" s="25" t="n">
        <v>0.3</v>
      </c>
    </row>
    <row r="9" customFormat="false" ht="15" hidden="false" customHeight="false" outlineLevel="0" collapsed="false">
      <c r="A9" s="23" t="str">
        <f aca="false">B9&amp;"-"&amp;C9</f>
        <v>Moderado-TIJOLO</v>
      </c>
      <c r="B9" s="24" t="s">
        <v>25</v>
      </c>
      <c r="C9" s="24" t="s">
        <v>31</v>
      </c>
      <c r="D9" s="25" t="n">
        <v>0.4</v>
      </c>
    </row>
    <row r="10" customFormat="false" ht="15" hidden="false" customHeight="false" outlineLevel="0" collapsed="false">
      <c r="A10" s="23" t="str">
        <f aca="false">B10&amp;"-"&amp;C10</f>
        <v>Moderado-HÍBRIDOS</v>
      </c>
      <c r="B10" s="24" t="s">
        <v>25</v>
      </c>
      <c r="C10" s="24" t="s">
        <v>32</v>
      </c>
      <c r="D10" s="25" t="n">
        <v>0.08</v>
      </c>
    </row>
    <row r="11" customFormat="false" ht="15" hidden="false" customHeight="false" outlineLevel="0" collapsed="false">
      <c r="A11" s="23" t="str">
        <f aca="false">B11&amp;"-"&amp;C11</f>
        <v>Moderado-FOFs</v>
      </c>
      <c r="B11" s="24" t="s">
        <v>25</v>
      </c>
      <c r="C11" s="24" t="s">
        <v>33</v>
      </c>
      <c r="D11" s="25" t="n">
        <v>0.1</v>
      </c>
    </row>
    <row r="12" customFormat="false" ht="15" hidden="false" customHeight="false" outlineLevel="0" collapsed="false">
      <c r="A12" s="23" t="str">
        <f aca="false">B12&amp;"-"&amp;C12</f>
        <v>Moderado-DESENVOLVIMENTO</v>
      </c>
      <c r="B12" s="24" t="s">
        <v>25</v>
      </c>
      <c r="C12" s="24" t="s">
        <v>34</v>
      </c>
      <c r="D12" s="25" t="n">
        <v>0.06</v>
      </c>
    </row>
    <row r="13" customFormat="false" ht="15" hidden="false" customHeight="false" outlineLevel="0" collapsed="false">
      <c r="A13" s="23" t="str">
        <f aca="false">B13&amp;"-"&amp;C13</f>
        <v>Moderado-HOTELARIA</v>
      </c>
      <c r="B13" s="24" t="s">
        <v>25</v>
      </c>
      <c r="C13" s="24" t="s">
        <v>35</v>
      </c>
      <c r="D13" s="25" t="n">
        <v>0.06</v>
      </c>
    </row>
    <row r="14" customFormat="false" ht="15" hidden="false" customHeight="false" outlineLevel="0" collapsed="false">
      <c r="A14" s="23" t="str">
        <f aca="false">B14&amp;"-"&amp;C14</f>
        <v>Agressivo-PAPEL</v>
      </c>
      <c r="B14" s="24" t="s">
        <v>43</v>
      </c>
      <c r="C14" s="24" t="s">
        <v>30</v>
      </c>
      <c r="D14" s="25" t="n">
        <v>0.5</v>
      </c>
    </row>
    <row r="15" customFormat="false" ht="15" hidden="false" customHeight="false" outlineLevel="0" collapsed="false">
      <c r="A15" s="23" t="str">
        <f aca="false">B15&amp;"-"&amp;C15</f>
        <v>Agressivo-TIJOLO</v>
      </c>
      <c r="B15" s="24" t="s">
        <v>43</v>
      </c>
      <c r="C15" s="24" t="s">
        <v>31</v>
      </c>
      <c r="D15" s="25" t="n">
        <v>0.1</v>
      </c>
    </row>
    <row r="16" customFormat="false" ht="15" hidden="false" customHeight="false" outlineLevel="0" collapsed="false">
      <c r="A16" s="23" t="str">
        <f aca="false">B16&amp;"-"&amp;C16</f>
        <v>Agressivo-HÍBRIDOS</v>
      </c>
      <c r="B16" s="24" t="s">
        <v>43</v>
      </c>
      <c r="C16" s="24" t="s">
        <v>32</v>
      </c>
      <c r="D16" s="25" t="n">
        <v>0.05</v>
      </c>
    </row>
    <row r="17" customFormat="false" ht="15" hidden="false" customHeight="false" outlineLevel="0" collapsed="false">
      <c r="A17" s="23" t="str">
        <f aca="false">B17&amp;"-"&amp;C17</f>
        <v>Agressivo-FOFs</v>
      </c>
      <c r="B17" s="24" t="s">
        <v>43</v>
      </c>
      <c r="C17" s="24" t="s">
        <v>33</v>
      </c>
      <c r="D17" s="25" t="n">
        <v>0.05</v>
      </c>
    </row>
    <row r="18" customFormat="false" ht="15" hidden="false" customHeight="false" outlineLevel="0" collapsed="false">
      <c r="A18" s="23" t="str">
        <f aca="false">B18&amp;"-"&amp;C18</f>
        <v>Agressivo-DESENVOLVIMENTO</v>
      </c>
      <c r="B18" s="24" t="s">
        <v>43</v>
      </c>
      <c r="C18" s="24" t="s">
        <v>34</v>
      </c>
      <c r="D18" s="25" t="n">
        <v>0.2</v>
      </c>
    </row>
    <row r="19" customFormat="false" ht="15" hidden="false" customHeight="false" outlineLevel="0" collapsed="false">
      <c r="A19" s="23" t="str">
        <f aca="false">B19&amp;"-"&amp;C19</f>
        <v>Agressivo-HOTELARIA</v>
      </c>
      <c r="B19" s="24" t="s">
        <v>43</v>
      </c>
      <c r="C19" s="24" t="s">
        <v>35</v>
      </c>
      <c r="D19" s="25" t="n">
        <v>0.1</v>
      </c>
    </row>
    <row r="21" customFormat="false" ht="15" hidden="false" customHeight="false" outlineLevel="0" collapsed="false">
      <c r="A21" s="28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2026-10-17T13:09:12Z</dcterms:created>
  <dc:creator>openpyxl</dc:creator>
  <dc:description/>
  <dc:language>en-US</dc:language>
  <cp:lastModifiedBy/>
  <dcterms:modified xsi:type="dcterms:W3CDTF">2026-10-17T13:09:14Z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